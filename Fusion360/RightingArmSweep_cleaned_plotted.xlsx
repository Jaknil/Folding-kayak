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ob\Documents\GitHub\Folding-kayak\Fusion360\"/>
    </mc:Choice>
  </mc:AlternateContent>
  <xr:revisionPtr revIDLastSave="0" documentId="13_ncr:1_{2A36338C-B9F0-4E82-A490-C2F2384599BD}" xr6:coauthVersionLast="47" xr6:coauthVersionMax="47" xr10:uidLastSave="{00000000-0000-0000-0000-000000000000}"/>
  <bookViews>
    <workbookView xWindow="-120" yWindow="-120" windowWidth="20730" windowHeight="11160" xr2:uid="{DE637436-0473-404C-BC50-937410BA525C}"/>
  </bookViews>
  <sheets>
    <sheet name="TestData_v3_comp" sheetId="2" r:id="rId1"/>
    <sheet name="TestData_v3_comp (2)" sheetId="3" r:id="rId2"/>
  </sheets>
  <definedNames>
    <definedName name="ExternalData_1" localSheetId="0" hidden="1">TestData_v3_comp!$A$1:$G$15</definedName>
    <definedName name="ExternalData_1" localSheetId="1" hidden="1">'TestData_v3_comp (2)'!$A$1:$H$15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G16" i="3"/>
  <c r="D7" i="3"/>
  <c r="C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B6C07-C641-489A-97CB-571D3296F5DD}" keepAlive="1" name="Query - TestData_v3_comp" description="Connection to the 'TestData_v3_comp' query in the workbook." type="5" refreshedVersion="8" background="1" saveData="1">
    <dbPr connection="Provider=Microsoft.Mashup.OleDb.1;Data Source=$Workbook$;Location=TestData_v3_comp;Extended Properties=&quot;&quot;" command="SELECT * FROM [TestData_v3_comp]"/>
  </connection>
  <connection id="2" xr16:uid="{5149B468-44D9-4C0D-A801-5222E0C3E350}" keepAlive="1" name="Query - TestData_v3_comp (2)" description="Connection to the 'TestData_v3_comp (2)' query in the workbook." type="5" refreshedVersion="8" background="1" saveData="1">
    <dbPr connection="Provider=Microsoft.Mashup.OleDb.1;Data Source=$Workbook$;Location=&quot;TestData_v3_comp (2)&quot;;Extended Properties=&quot;&quot;" command="SELECT * FROM [TestData_v3_comp (2)]"/>
  </connection>
</connections>
</file>

<file path=xl/sharedStrings.xml><?xml version="1.0" encoding="utf-8"?>
<sst xmlns="http://schemas.openxmlformats.org/spreadsheetml/2006/main" count="16" uniqueCount="9">
  <si>
    <t>HeelAngle</t>
  </si>
  <si>
    <t>30.09.2026_v3_90.72kg_10in+30mm_fromK</t>
  </si>
  <si>
    <t>V2_asbuilt_90.72kg_10in30mm</t>
  </si>
  <si>
    <t>V2_asbuilt_68.04kg_10in30mmK</t>
  </si>
  <si>
    <t>V3_68.04kg_10in30mmK</t>
  </si>
  <si>
    <t>Solo Microboot 150p2</t>
  </si>
  <si>
    <t>Solo Microboot 200p</t>
  </si>
  <si>
    <t>Nm 90kg v3</t>
  </si>
  <si>
    <t>v2.4_68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</si>
</sst>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NumberForma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TestData_v3_comp!$B$1</c:f>
              <c:strCache>
                <c:ptCount val="1"/>
                <c:pt idx="0">
                  <c:v>30.09.2026_v3_90.72kg_10in+30mm_fromK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TestData_v3_comp!$A$2:$A$15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</c:numCache>
            </c:numRef>
          </c:xVal>
          <c:yVal>
            <c:numRef>
              <c:f>TestData_v3_comp!$B$2:$B$15</c:f>
              <c:numCache>
                <c:formatCode>General</c:formatCode>
                <c:ptCount val="14"/>
                <c:pt idx="0">
                  <c:v>0</c:v>
                </c:pt>
                <c:pt idx="1">
                  <c:v>3.6143025886678917</c:v>
                </c:pt>
                <c:pt idx="2">
                  <c:v>7.2515610078434083</c:v>
                </c:pt>
                <c:pt idx="3">
                  <c:v>10.934704290814638</c:v>
                </c:pt>
                <c:pt idx="4">
                  <c:v>14.686685862088291</c:v>
                </c:pt>
                <c:pt idx="5">
                  <c:v>18.530465684232539</c:v>
                </c:pt>
                <c:pt idx="6">
                  <c:v>22.48893704474127</c:v>
                </c:pt>
                <c:pt idx="7">
                  <c:v>26.386600348392697</c:v>
                </c:pt>
                <c:pt idx="8">
                  <c:v>29.492855410981377</c:v>
                </c:pt>
                <c:pt idx="9">
                  <c:v>31.876605800476643</c:v>
                </c:pt>
                <c:pt idx="10">
                  <c:v>33.665694816156972</c:v>
                </c:pt>
                <c:pt idx="11">
                  <c:v>34.955435729999998</c:v>
                </c:pt>
                <c:pt idx="12">
                  <c:v>35.820851562722908</c:v>
                </c:pt>
                <c:pt idx="13">
                  <c:v>36.078511490621082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8B-4634-8CC9-5AEE2848D89C}"/>
            </c:ext>
          </c:extLst>
        </c:ser>
        <c:ser>
          <c:idx val="1"/>
          <c:order val="1"/>
          <c:tx>
            <c:strRef>
              <c:f>TestData_v3_comp!$C$1</c:f>
              <c:strCache>
                <c:ptCount val="1"/>
                <c:pt idx="0">
                  <c:v>Solo Microboot 200p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TestData_v3_comp!$A$20:$A$24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TestData_v3_comp!$C$20:$C$24</c:f>
              <c:numCache>
                <c:formatCode>General</c:formatCode>
                <c:ptCount val="5"/>
                <c:pt idx="0">
                  <c:v>0</c:v>
                </c:pt>
                <c:pt idx="1">
                  <c:v>14.325600000000001</c:v>
                </c:pt>
                <c:pt idx="2">
                  <c:v>20.116800000000001</c:v>
                </c:pt>
                <c:pt idx="3">
                  <c:v>20.421600000000002</c:v>
                </c:pt>
                <c:pt idx="4">
                  <c:v>17.3736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8B-4634-8CC9-5AEE2848D89C}"/>
            </c:ext>
          </c:extLst>
        </c:ser>
        <c:ser>
          <c:idx val="2"/>
          <c:order val="2"/>
          <c:tx>
            <c:strRef>
              <c:f>TestData_v3_comp!$D$1</c:f>
              <c:strCache>
                <c:ptCount val="1"/>
                <c:pt idx="0">
                  <c:v>V2_asbuilt_90.72kg_10in30mm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TestData_v3_comp!$A$2:$A$15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</c:numCache>
            </c:numRef>
          </c:xVal>
          <c:yVal>
            <c:numRef>
              <c:f>TestData_v3_comp!$D$2:$D$15</c:f>
              <c:numCache>
                <c:formatCode>General</c:formatCode>
                <c:ptCount val="14"/>
                <c:pt idx="0">
                  <c:v>0</c:v>
                </c:pt>
                <c:pt idx="1">
                  <c:v>0.38215086457855429</c:v>
                </c:pt>
                <c:pt idx="2">
                  <c:v>0.7798108889759936</c:v>
                </c:pt>
                <c:pt idx="3">
                  <c:v>1.2187317545644927</c:v>
                </c:pt>
                <c:pt idx="4">
                  <c:v>1.7162610008070089</c:v>
                </c:pt>
                <c:pt idx="5">
                  <c:v>2.2913956700277627</c:v>
                </c:pt>
                <c:pt idx="6">
                  <c:v>2.9542475405742596</c:v>
                </c:pt>
                <c:pt idx="7">
                  <c:v>3.4316156461438929</c:v>
                </c:pt>
                <c:pt idx="8">
                  <c:v>3.6244941391413121</c:v>
                </c:pt>
                <c:pt idx="9">
                  <c:v>3.5814365777583035</c:v>
                </c:pt>
                <c:pt idx="10">
                  <c:v>3.345700169036423</c:v>
                </c:pt>
                <c:pt idx="11">
                  <c:v>2.9564879576701841</c:v>
                </c:pt>
                <c:pt idx="12">
                  <c:v>2.4498664614607613</c:v>
                </c:pt>
                <c:pt idx="13">
                  <c:v>1.8595618939661129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8B-4634-8CC9-5AEE2848D89C}"/>
            </c:ext>
          </c:extLst>
        </c:ser>
        <c:ser>
          <c:idx val="3"/>
          <c:order val="3"/>
          <c:tx>
            <c:strRef>
              <c:f>TestData_v3_comp!$E$1</c:f>
              <c:strCache>
                <c:ptCount val="1"/>
                <c:pt idx="0">
                  <c:v>V2_asbuilt_68.04kg_10in30mmK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TestData_v3_comp!$A$2:$A$15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</c:numCache>
            </c:numRef>
          </c:xVal>
          <c:yVal>
            <c:numRef>
              <c:f>TestData_v3_comp!$E$2:$E$15</c:f>
              <c:numCache>
                <c:formatCode>General</c:formatCode>
                <c:ptCount val="14"/>
                <c:pt idx="0">
                  <c:v>0</c:v>
                </c:pt>
                <c:pt idx="1">
                  <c:v>1.7582880946499835</c:v>
                </c:pt>
                <c:pt idx="2">
                  <c:v>3.5357068040228512</c:v>
                </c:pt>
                <c:pt idx="3">
                  <c:v>5.3507976163279292</c:v>
                </c:pt>
                <c:pt idx="4">
                  <c:v>6.8882131040000001</c:v>
                </c:pt>
                <c:pt idx="5">
                  <c:v>7.9027107113858186</c:v>
                </c:pt>
                <c:pt idx="6">
                  <c:v>8.4772572621447484</c:v>
                </c:pt>
                <c:pt idx="7">
                  <c:v>8.6821226642829519</c:v>
                </c:pt>
                <c:pt idx="8">
                  <c:v>8.5778441065895183</c:v>
                </c:pt>
                <c:pt idx="9">
                  <c:v>8.2172795945172261</c:v>
                </c:pt>
                <c:pt idx="10">
                  <c:v>7.6472604719564963</c:v>
                </c:pt>
                <c:pt idx="11">
                  <c:v>6.9099309450000002</c:v>
                </c:pt>
                <c:pt idx="12">
                  <c:v>6.0438475571111816</c:v>
                </c:pt>
                <c:pt idx="13">
                  <c:v>5.0848986300286292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8B-4634-8CC9-5AEE2848D89C}"/>
            </c:ext>
          </c:extLst>
        </c:ser>
        <c:ser>
          <c:idx val="4"/>
          <c:order val="4"/>
          <c:tx>
            <c:strRef>
              <c:f>TestData_v3_comp!$F$1</c:f>
              <c:strCache>
                <c:ptCount val="1"/>
                <c:pt idx="0">
                  <c:v>V3_68.04kg_10in30mmK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TestData_v3_comp!$A$2:$A$15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</c:numCache>
            </c:numRef>
          </c:xVal>
          <c:yVal>
            <c:numRef>
              <c:f>TestData_v3_comp!$F$2:$F$15</c:f>
              <c:numCache>
                <c:formatCode>General</c:formatCode>
                <c:ptCount val="14"/>
                <c:pt idx="0">
                  <c:v>0</c:v>
                </c:pt>
                <c:pt idx="1">
                  <c:v>5.7767789695848091</c:v>
                </c:pt>
                <c:pt idx="2">
                  <c:v>11.579616759976219</c:v>
                </c:pt>
                <c:pt idx="3">
                  <c:v>17.43444212378887</c:v>
                </c:pt>
                <c:pt idx="4">
                  <c:v>23.367199814525371</c:v>
                </c:pt>
                <c:pt idx="5">
                  <c:v>29.088222431856853</c:v>
                </c:pt>
                <c:pt idx="6">
                  <c:v>33.566160253357296</c:v>
                </c:pt>
                <c:pt idx="7">
                  <c:v>36.968044839999997</c:v>
                </c:pt>
                <c:pt idx="8">
                  <c:v>39.486924298506949</c:v>
                </c:pt>
                <c:pt idx="9">
                  <c:v>41.299882744762179</c:v>
                </c:pt>
                <c:pt idx="10">
                  <c:v>42.527524768893407</c:v>
                </c:pt>
                <c:pt idx="11">
                  <c:v>43.271801437912231</c:v>
                </c:pt>
                <c:pt idx="12">
                  <c:v>43.615839341589606</c:v>
                </c:pt>
                <c:pt idx="13">
                  <c:v>43.628240126287153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8B-4634-8CC9-5AEE2848D89C}"/>
            </c:ext>
          </c:extLst>
        </c:ser>
        <c:ser>
          <c:idx val="5"/>
          <c:order val="5"/>
          <c:tx>
            <c:strRef>
              <c:f>TestData_v3_comp!$G$1</c:f>
              <c:strCache>
                <c:ptCount val="1"/>
                <c:pt idx="0">
                  <c:v>Solo Microboot 150p2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TestData_v3_comp!$A$20:$A$24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TestData_v3_comp!$G$20:$G$24</c:f>
              <c:numCache>
                <c:formatCode>General</c:formatCode>
                <c:ptCount val="5"/>
                <c:pt idx="0">
                  <c:v>0</c:v>
                </c:pt>
                <c:pt idx="1">
                  <c:v>24.688800000000001</c:v>
                </c:pt>
                <c:pt idx="2">
                  <c:v>30.1752</c:v>
                </c:pt>
                <c:pt idx="3">
                  <c:v>31.089600000000001</c:v>
                </c:pt>
                <c:pt idx="4">
                  <c:v>28.956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8B-4634-8CC9-5AEE2848D89C}"/>
            </c:ext>
          </c:extLst>
        </c:ser>
        <c:ser>
          <c:idx val="6"/>
          <c:order val="6"/>
          <c:tx>
            <c:strRef>
              <c:f>TestData_v3_comp!$H$1</c:f>
              <c:strCache>
                <c:ptCount val="1"/>
                <c:pt idx="0">
                  <c:v>v2.4_68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TestData_v3_comp!$A$20:$A$24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TestData_v3_comp!$H$20:$H$24</c:f>
              <c:numCache>
                <c:formatCode>General</c:formatCode>
                <c:ptCount val="5"/>
                <c:pt idx="0">
                  <c:v>0</c:v>
                </c:pt>
                <c:pt idx="1">
                  <c:v>14</c:v>
                </c:pt>
                <c:pt idx="2">
                  <c:v>16.47</c:v>
                </c:pt>
                <c:pt idx="3">
                  <c:v>16.975000000000001</c:v>
                </c:pt>
                <c:pt idx="4">
                  <c:v>16.344000000000001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4-4169-BA88-D9ED5881F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947471"/>
        <c:axId val="107201215"/>
      </c:scatterChart>
      <c:valAx>
        <c:axId val="75594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201215"/>
        <c:crosses val="autoZero"/>
        <c:crossBetween val="midCat"/>
      </c:valAx>
      <c:valAx>
        <c:axId val="10720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55947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Righting</a:t>
            </a:r>
            <a:r>
              <a:rPr lang="en-US" baseline="0"/>
              <a:t> moment </a:t>
            </a:r>
            <a:r>
              <a:rPr lang="en-US"/>
              <a:t>90.72kg in v3 10in+30mm</a:t>
            </a:r>
            <a:r>
              <a:rPr lang="en-US" baseline="0"/>
              <a:t> from 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'TestData_v3_comp (2)'!$B$1</c:f>
              <c:strCache>
                <c:ptCount val="1"/>
                <c:pt idx="0">
                  <c:v>Nm 90kg v3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'TestData_v3_comp (2)'!$A$2:$A$15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</c:numCache>
            </c:numRef>
          </c:xVal>
          <c:yVal>
            <c:numRef>
              <c:f>'TestData_v3_comp (2)'!$B$2:$B$15</c:f>
              <c:numCache>
                <c:formatCode>General</c:formatCode>
                <c:ptCount val="14"/>
                <c:pt idx="0">
                  <c:v>0</c:v>
                </c:pt>
                <c:pt idx="1">
                  <c:v>3.2198751928876006</c:v>
                </c:pt>
                <c:pt idx="2">
                  <c:v>6.4602010556818596</c:v>
                </c:pt>
                <c:pt idx="3">
                  <c:v>9.7414043854397541</c:v>
                </c:pt>
                <c:pt idx="4">
                  <c:v>13.083933708632941</c:v>
                </c:pt>
                <c:pt idx="5">
                  <c:v>16.508243376298516</c:v>
                </c:pt>
                <c:pt idx="6">
                  <c:v>20.03472834062347</c:v>
                </c:pt>
                <c:pt idx="7">
                  <c:v>23.507041207012744</c:v>
                </c:pt>
                <c:pt idx="8">
                  <c:v>26.274311897123145</c:v>
                </c:pt>
                <c:pt idx="9">
                  <c:v>28.397924560112948</c:v>
                </c:pt>
                <c:pt idx="10">
                  <c:v>29.991771007147687</c:v>
                </c:pt>
                <c:pt idx="11">
                  <c:v>31.14076301095939</c:v>
                </c:pt>
                <c:pt idx="12">
                  <c:v>31.911736360023582</c:v>
                </c:pt>
                <c:pt idx="13">
                  <c:v>32.1412779630542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7E-497F-85B9-ACC692318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947471"/>
        <c:axId val="107201215"/>
      </c:scatterChart>
      <c:valAx>
        <c:axId val="75594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Heel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201215"/>
        <c:crosses val="autoZero"/>
        <c:crossBetween val="midCat"/>
      </c:valAx>
      <c:valAx>
        <c:axId val="10720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5594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870857</xdr:colOff>
      <xdr:row>3</xdr:row>
      <xdr:rowOff>54429</xdr:rowOff>
    </xdr:from>
    <xdr:to>
      <xdr:col>8</xdr:col>
      <xdr:colOff>81642</xdr:colOff>
      <xdr:row>19</xdr:row>
      <xdr:rowOff>122465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E6DA07-9D4B-32B5-8623-BCC69B301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3</xdr:row>
      <xdr:rowOff>138112</xdr:rowOff>
    </xdr:from>
    <xdr:to>
      <xdr:col>5</xdr:col>
      <xdr:colOff>285750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383A7C-8378-4107-9449-A84E96E85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54B80C-80D3-4D71-B7A1-FC6EFCF51274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HeelAngle" tableColumnId="1"/>
      <queryTableField id="2" name="30.09.2026_v3_90.72kg_10in+30mm_fromK" tableColumnId="2"/>
      <queryTableField id="3" name="Solo microbootlegger w 90.72kg 10 in ab seat" tableColumnId="3"/>
      <queryTableField id="4" name="V2_asbuilt_90.72kg_10in30mm" tableColumnId="4"/>
      <queryTableField id="5" name="V2_asbuilt_68.04kg_10in30mmK" tableColumnId="5"/>
      <queryTableField id="6" name="V3_68.04kg_10in30mmK" tableColumnId="6"/>
      <queryTableField id="7" name="Solo Microboot" tableColumnId="7"/>
      <queryTableField id="9" dataBound="0" tableColumnId="8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158A46-4408-4DE7-90DB-7E993387960B}" autoFormatId="16" applyNumberFormats="0" applyBorderFormats="0" applyFontFormats="0" applyPatternFormats="0" applyAlignmentFormats="0" applyWidthHeightFormats="0">
  <queryTableRefresh nextId="10">
    <queryTableFields count="8">
      <queryTableField id="1" name="HeelAngle" tableColumnId="1"/>
      <queryTableField id="9" dataBound="0" tableColumnId="9"/>
      <queryTableField id="2" name="30.09.2026_v3_90.72kg_10in+30mm_fromK" tableColumnId="2"/>
      <queryTableField id="3" name="Solo microbootlegger w 90.72kg 10 in ab seat" tableColumnId="3"/>
      <queryTableField id="4" name="V2_asbuilt_90.72kg_10in30mm" tableColumnId="4"/>
      <queryTableField id="5" name="V2_asbuilt_68.04kg_10in30mmK" tableColumnId="5"/>
      <queryTableField id="6" name="V3_68.04kg_10in30mmK" tableColumnId="6"/>
      <queryTableField id="7" name="Solo Microboot" tableColumnId="7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759EE-43C6-43CC-9D2F-52FDF7324CF4}" name="TestData_v3_comp" displayName="TestData_v3_comp" ref="A1:H16" tableType="queryTable" totalsRowCount="1">
  <autoFilter ref="A1:H15" xr:uid="{2CB759EE-43C6-43CC-9D2F-52FDF7324CF4}"/>
  <tableColumns count="8">
    <tableColumn id="1" xr3:uid="{8EE95E13-EDCD-45A0-92A5-D366ADF85B4F}" uniqueName="1" name="HeelAngle" queryTableFieldId="1" totalsRowDxfId="0"/>
    <tableColumn id="2" xr3:uid="{126E497A-636B-4139-88F3-596BA239455E}" uniqueName="2" name="30.09.2026_v3_90.72kg_10in+30mm_fromK" queryTableFieldId="2"/>
    <tableColumn id="3" xr3:uid="{09E9EAF0-44C4-4FE3-A4D9-9473C26B8064}" uniqueName="3" name="Solo Microboot 200p" queryTableFieldId="3"/>
    <tableColumn id="4" xr3:uid="{81A208C9-F420-4AB9-AC07-EC220E07CBC1}" uniqueName="4" name="V2_asbuilt_90.72kg_10in30mm" queryTableFieldId="4"/>
    <tableColumn id="5" xr3:uid="{FB6AE0FC-3347-4D9D-AECB-95935DCFF936}" uniqueName="5" name="V2_asbuilt_68.04kg_10in30mmK" queryTableFieldId="5"/>
    <tableColumn id="6" xr3:uid="{5F942661-89C4-41BE-AFE0-16EA42FD3741}" uniqueName="6" name="V3_68.04kg_10in30mmK" queryTableFieldId="6"/>
    <tableColumn id="7" xr3:uid="{6EC271AA-EBEA-4661-968E-967AC1E0B5CB}" uniqueName="7" name="Solo Microboot 150p2" queryTableFieldId="7"/>
    <tableColumn id="8" xr3:uid="{D842E034-B767-4CEB-9FA3-A71B5519825B}" uniqueName="8" name="v2.4_68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73AE28-4105-4E30-A68B-0F46E1DBB561}" name="TestData_v3_comp3" displayName="TestData_v3_comp3" ref="A1:H16" tableType="queryTable" totalsRowCount="1">
  <autoFilter ref="A1:H15" xr:uid="{2CB759EE-43C6-43CC-9D2F-52FDF7324CF4}"/>
  <tableColumns count="8">
    <tableColumn id="1" xr3:uid="{6E2A9D4C-F337-4EAC-B601-C7DFBB284A73}" uniqueName="1" name="HeelAngle" queryTableFieldId="1"/>
    <tableColumn id="9" xr3:uid="{81DCFCC1-6CB6-4769-9550-A887B2718498}" uniqueName="9" name="Nm 90kg v3" queryTableFieldId="9" dataDxfId="1">
      <calculatedColumnFormula>C2*90.72*9.82/1000</calculatedColumnFormula>
    </tableColumn>
    <tableColumn id="2" xr3:uid="{46AAE8FD-1101-47CB-AC78-7D86C3E61431}" uniqueName="2" name="30.09.2026_v3_90.72kg_10in+30mm_fromK" queryTableFieldId="2"/>
    <tableColumn id="3" xr3:uid="{CCABF044-E71C-4A72-BEB4-1C49F8D84E96}" uniqueName="3" name="Solo Microboot 200p" queryTableFieldId="3"/>
    <tableColumn id="4" xr3:uid="{A08E91FD-6E03-47C8-865C-74D883A1EF6A}" uniqueName="4" name="V2_asbuilt_90.72kg_10in30mm" queryTableFieldId="4"/>
    <tableColumn id="5" xr3:uid="{217697F3-00EB-4B1B-AFAE-22CC8649C60F}" uniqueName="5" name="V2_asbuilt_68.04kg_10in30mmK" queryTableFieldId="5"/>
    <tableColumn id="6" xr3:uid="{A87CAABF-4600-4C42-969E-AAA9D2ED49CB}" uniqueName="6" name="V3_68.04kg_10in30mmK" totalsRowFunction="custom" queryTableFieldId="6">
      <totalsRowFormula>G15*68.04*9.82/1000</totalsRowFormula>
    </tableColumn>
    <tableColumn id="7" xr3:uid="{5DBFD975-A60E-4919-8689-DA31A5BBAF7F}" uniqueName="7" name="Solo Microboot 150p2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FCED-64A4-4DF4-8B61-BDD029044CE0}">
  <dimension ref="A1:H25"/>
  <sheetViews>
    <sheetView tabSelected="1" zoomScale="70" zoomScaleNormal="70" workbookViewId="0">
      <selection activeCell="K18" sqref="K18"/>
    </sheetView>
  </sheetViews>
  <sheetFormatPr defaultRowHeight="15" x14ac:dyDescent="0.25"/>
  <cols>
    <col min="1" max="1" width="12.5703125" bestFit="1" customWidth="1"/>
    <col min="2" max="2" width="41" bestFit="1" customWidth="1"/>
    <col min="3" max="3" width="43.85546875" bestFit="1" customWidth="1"/>
    <col min="4" max="4" width="30.42578125" bestFit="1" customWidth="1"/>
    <col min="5" max="5" width="31.5703125" bestFit="1" customWidth="1"/>
    <col min="6" max="6" width="24.42578125" bestFit="1" customWidth="1"/>
    <col min="7" max="7" width="17" bestFit="1" customWidth="1"/>
  </cols>
  <sheetData>
    <row r="1" spans="1:8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8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8" x14ac:dyDescent="0.25">
      <c r="A3">
        <v>2</v>
      </c>
      <c r="B3">
        <v>3.6143025886678917</v>
      </c>
      <c r="D3">
        <v>0.38215086457855429</v>
      </c>
      <c r="E3">
        <v>1.7582880946499835</v>
      </c>
      <c r="F3">
        <v>5.7767789695848091</v>
      </c>
    </row>
    <row r="4" spans="1:8" x14ac:dyDescent="0.25">
      <c r="A4">
        <v>4</v>
      </c>
      <c r="B4">
        <v>7.2515610078434083</v>
      </c>
      <c r="D4">
        <v>0.7798108889759936</v>
      </c>
      <c r="E4">
        <v>3.5357068040228512</v>
      </c>
      <c r="F4">
        <v>11.579616759976219</v>
      </c>
    </row>
    <row r="5" spans="1:8" x14ac:dyDescent="0.25">
      <c r="A5">
        <v>6</v>
      </c>
      <c r="B5">
        <v>10.934704290814638</v>
      </c>
      <c r="D5">
        <v>1.2187317545644927</v>
      </c>
      <c r="E5">
        <v>5.3507976163279292</v>
      </c>
      <c r="F5">
        <v>17.43444212378887</v>
      </c>
    </row>
    <row r="6" spans="1:8" x14ac:dyDescent="0.25">
      <c r="A6">
        <v>8</v>
      </c>
      <c r="B6">
        <v>14.686685862088291</v>
      </c>
      <c r="D6">
        <v>1.7162610008070089</v>
      </c>
      <c r="E6">
        <v>6.8882131040000001</v>
      </c>
      <c r="F6">
        <v>23.367199814525371</v>
      </c>
    </row>
    <row r="7" spans="1:8" x14ac:dyDescent="0.25">
      <c r="A7">
        <v>10</v>
      </c>
      <c r="B7">
        <v>18.530465684232539</v>
      </c>
      <c r="C7">
        <f>0.047*304.8</f>
        <v>14.325600000000001</v>
      </c>
      <c r="D7">
        <v>2.2913956700277627</v>
      </c>
      <c r="E7">
        <v>7.9027107113858186</v>
      </c>
      <c r="F7">
        <v>29.088222431856853</v>
      </c>
      <c r="G7">
        <v>24.688800000000001</v>
      </c>
    </row>
    <row r="8" spans="1:8" x14ac:dyDescent="0.25">
      <c r="A8">
        <v>12</v>
      </c>
      <c r="B8">
        <v>22.48893704474127</v>
      </c>
      <c r="D8">
        <v>2.9542475405742596</v>
      </c>
      <c r="E8">
        <v>8.4772572621447484</v>
      </c>
      <c r="F8">
        <v>33.566160253357296</v>
      </c>
    </row>
    <row r="9" spans="1:8" x14ac:dyDescent="0.25">
      <c r="A9">
        <v>14</v>
      </c>
      <c r="B9">
        <v>26.386600348392697</v>
      </c>
      <c r="D9">
        <v>3.4316156461438929</v>
      </c>
      <c r="E9">
        <v>8.6821226642829519</v>
      </c>
      <c r="F9">
        <v>36.968044839999997</v>
      </c>
    </row>
    <row r="10" spans="1:8" x14ac:dyDescent="0.25">
      <c r="A10">
        <v>16</v>
      </c>
      <c r="B10">
        <v>29.492855410981377</v>
      </c>
      <c r="D10">
        <v>3.6244941391413121</v>
      </c>
      <c r="E10">
        <v>8.5778441065895183</v>
      </c>
      <c r="F10">
        <v>39.486924298506949</v>
      </c>
    </row>
    <row r="11" spans="1:8" x14ac:dyDescent="0.25">
      <c r="A11">
        <v>18</v>
      </c>
      <c r="B11">
        <v>31.876605800476643</v>
      </c>
      <c r="D11">
        <v>3.5814365777583035</v>
      </c>
      <c r="E11">
        <v>8.2172795945172261</v>
      </c>
      <c r="F11">
        <v>41.299882744762179</v>
      </c>
    </row>
    <row r="12" spans="1:8" x14ac:dyDescent="0.25">
      <c r="A12">
        <v>20</v>
      </c>
      <c r="B12">
        <v>33.665694816156972</v>
      </c>
      <c r="C12">
        <v>20.421600000000002</v>
      </c>
      <c r="D12">
        <v>3.345700169036423</v>
      </c>
      <c r="E12">
        <v>7.6472604719564963</v>
      </c>
      <c r="F12">
        <v>42.527524768893407</v>
      </c>
      <c r="G12">
        <v>31.089600000000001</v>
      </c>
    </row>
    <row r="13" spans="1:8" x14ac:dyDescent="0.25">
      <c r="A13">
        <v>22</v>
      </c>
      <c r="B13">
        <v>34.955435729999998</v>
      </c>
      <c r="D13">
        <v>2.9564879576701841</v>
      </c>
      <c r="E13">
        <v>6.9099309450000002</v>
      </c>
      <c r="F13">
        <v>43.271801437912231</v>
      </c>
    </row>
    <row r="14" spans="1:8" x14ac:dyDescent="0.25">
      <c r="A14">
        <v>24</v>
      </c>
      <c r="B14">
        <v>35.820851562722908</v>
      </c>
      <c r="D14">
        <v>2.4498664614607613</v>
      </c>
      <c r="E14">
        <v>6.0438475571111816</v>
      </c>
      <c r="F14">
        <v>43.615839341589606</v>
      </c>
    </row>
    <row r="15" spans="1:8" x14ac:dyDescent="0.25">
      <c r="A15">
        <v>26</v>
      </c>
      <c r="B15">
        <v>36.078511490621082</v>
      </c>
      <c r="D15">
        <v>1.8595618939661129</v>
      </c>
      <c r="E15">
        <v>5.0848986300286292</v>
      </c>
      <c r="F15">
        <v>43.628240126287153</v>
      </c>
    </row>
    <row r="16" spans="1:8" x14ac:dyDescent="0.25">
      <c r="A16" s="1"/>
    </row>
    <row r="17" spans="1:8" x14ac:dyDescent="0.25">
      <c r="A17" s="1"/>
      <c r="C17" s="2"/>
    </row>
    <row r="18" spans="1:8" x14ac:dyDescent="0.25">
      <c r="A18" s="4"/>
      <c r="C18" s="5"/>
    </row>
    <row r="19" spans="1:8" x14ac:dyDescent="0.25">
      <c r="A19" s="1"/>
      <c r="C19" s="2"/>
    </row>
    <row r="20" spans="1:8" x14ac:dyDescent="0.25">
      <c r="A20" s="2">
        <v>0</v>
      </c>
      <c r="C20">
        <v>0</v>
      </c>
      <c r="G20">
        <v>0</v>
      </c>
      <c r="H20">
        <v>0</v>
      </c>
    </row>
    <row r="21" spans="1:8" x14ac:dyDescent="0.25">
      <c r="A21" s="7">
        <v>10</v>
      </c>
      <c r="C21">
        <v>14.325600000000001</v>
      </c>
      <c r="G21" s="6">
        <v>24.688800000000001</v>
      </c>
      <c r="H21">
        <v>14</v>
      </c>
    </row>
    <row r="22" spans="1:8" x14ac:dyDescent="0.25">
      <c r="A22">
        <v>15</v>
      </c>
      <c r="C22">
        <v>20.116800000000001</v>
      </c>
      <c r="G22" s="3">
        <v>30.1752</v>
      </c>
      <c r="H22">
        <v>16.47</v>
      </c>
    </row>
    <row r="23" spans="1:8" x14ac:dyDescent="0.25">
      <c r="A23">
        <v>20</v>
      </c>
      <c r="C23">
        <v>20.421600000000002</v>
      </c>
      <c r="G23" s="6">
        <v>31.089600000000001</v>
      </c>
      <c r="H23">
        <v>16.975000000000001</v>
      </c>
    </row>
    <row r="24" spans="1:8" x14ac:dyDescent="0.25">
      <c r="A24">
        <v>25</v>
      </c>
      <c r="C24">
        <v>17.3736</v>
      </c>
      <c r="G24" s="3">
        <v>28.956</v>
      </c>
      <c r="H24">
        <v>16.344000000000001</v>
      </c>
    </row>
    <row r="25" spans="1:8" x14ac:dyDescent="0.25">
      <c r="A25">
        <v>30</v>
      </c>
      <c r="H25">
        <v>15.172000000000001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8D62-8628-4054-8A3F-A06EA91C618F}">
  <dimension ref="A1:H16"/>
  <sheetViews>
    <sheetView zoomScaleNormal="100" workbookViewId="0">
      <selection activeCell="D20" sqref="D20"/>
    </sheetView>
  </sheetViews>
  <sheetFormatPr defaultRowHeight="15" x14ac:dyDescent="0.25"/>
  <cols>
    <col min="1" max="1" width="12.5703125" bestFit="1" customWidth="1"/>
    <col min="2" max="2" width="12.5703125" customWidth="1"/>
    <col min="3" max="3" width="41" bestFit="1" customWidth="1"/>
    <col min="4" max="4" width="43.85546875" bestFit="1" customWidth="1"/>
    <col min="5" max="5" width="30.42578125" bestFit="1" customWidth="1"/>
    <col min="6" max="6" width="31.5703125" bestFit="1" customWidth="1"/>
    <col min="7" max="7" width="24.42578125" bestFit="1" customWidth="1"/>
    <col min="8" max="8" width="17" bestFit="1" customWidth="1"/>
  </cols>
  <sheetData>
    <row r="1" spans="1:8" x14ac:dyDescent="0.25">
      <c r="A1" t="s">
        <v>0</v>
      </c>
      <c r="B1" t="s">
        <v>7</v>
      </c>
      <c r="C1" t="s">
        <v>1</v>
      </c>
      <c r="D1" t="s">
        <v>6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0</v>
      </c>
      <c r="B2">
        <f t="shared" ref="B2:B15" si="0">C2*90.72*9.82/1000</f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2</v>
      </c>
      <c r="B3">
        <f t="shared" si="0"/>
        <v>3.2198751928876006</v>
      </c>
      <c r="C3">
        <v>3.6143025886678917</v>
      </c>
      <c r="E3">
        <v>0.38215086457855429</v>
      </c>
      <c r="F3">
        <v>1.7582880946499835</v>
      </c>
      <c r="G3">
        <v>5.7767789695848091</v>
      </c>
    </row>
    <row r="4" spans="1:8" x14ac:dyDescent="0.25">
      <c r="A4">
        <v>4</v>
      </c>
      <c r="B4">
        <f t="shared" si="0"/>
        <v>6.4602010556818596</v>
      </c>
      <c r="C4">
        <v>7.2515610078434083</v>
      </c>
      <c r="E4">
        <v>0.7798108889759936</v>
      </c>
      <c r="F4">
        <v>3.5357068040228512</v>
      </c>
      <c r="G4">
        <v>11.579616759976219</v>
      </c>
    </row>
    <row r="5" spans="1:8" x14ac:dyDescent="0.25">
      <c r="A5">
        <v>6</v>
      </c>
      <c r="B5">
        <f t="shared" si="0"/>
        <v>9.7414043854397541</v>
      </c>
      <c r="C5">
        <v>10.934704290814638</v>
      </c>
      <c r="E5">
        <v>1.2187317545644927</v>
      </c>
      <c r="F5">
        <v>5.3507976163279292</v>
      </c>
      <c r="G5">
        <v>17.43444212378887</v>
      </c>
    </row>
    <row r="6" spans="1:8" x14ac:dyDescent="0.25">
      <c r="A6">
        <v>8</v>
      </c>
      <c r="B6">
        <f t="shared" si="0"/>
        <v>13.083933708632941</v>
      </c>
      <c r="C6">
        <v>14.686685862088291</v>
      </c>
      <c r="E6">
        <v>1.7162610008070089</v>
      </c>
      <c r="F6">
        <v>6.8882131040000001</v>
      </c>
      <c r="G6">
        <v>23.367199814525371</v>
      </c>
    </row>
    <row r="7" spans="1:8" x14ac:dyDescent="0.25">
      <c r="A7">
        <v>10</v>
      </c>
      <c r="B7">
        <f t="shared" si="0"/>
        <v>16.508243376298516</v>
      </c>
      <c r="C7">
        <v>18.530465684232539</v>
      </c>
      <c r="D7">
        <f>0.047*304.8</f>
        <v>14.325600000000001</v>
      </c>
      <c r="E7">
        <v>2.2913956700277627</v>
      </c>
      <c r="F7">
        <v>7.9027107113858186</v>
      </c>
      <c r="G7">
        <v>29.088222431856853</v>
      </c>
      <c r="H7">
        <v>24.688800000000001</v>
      </c>
    </row>
    <row r="8" spans="1:8" x14ac:dyDescent="0.25">
      <c r="A8">
        <v>12</v>
      </c>
      <c r="B8">
        <f t="shared" si="0"/>
        <v>20.03472834062347</v>
      </c>
      <c r="C8">
        <v>22.48893704474127</v>
      </c>
      <c r="E8">
        <v>2.9542475405742596</v>
      </c>
      <c r="F8">
        <v>8.4772572621447484</v>
      </c>
      <c r="G8">
        <v>33.566160253357296</v>
      </c>
    </row>
    <row r="9" spans="1:8" x14ac:dyDescent="0.25">
      <c r="A9">
        <v>14</v>
      </c>
      <c r="B9">
        <f t="shared" si="0"/>
        <v>23.507041207012744</v>
      </c>
      <c r="C9">
        <v>26.386600348392697</v>
      </c>
      <c r="E9">
        <v>3.4316156461438929</v>
      </c>
      <c r="F9">
        <v>8.6821226642829519</v>
      </c>
      <c r="G9">
        <v>36.968044839999997</v>
      </c>
    </row>
    <row r="10" spans="1:8" x14ac:dyDescent="0.25">
      <c r="A10">
        <v>16</v>
      </c>
      <c r="B10">
        <f t="shared" si="0"/>
        <v>26.274311897123145</v>
      </c>
      <c r="C10">
        <v>29.492855410981377</v>
      </c>
      <c r="E10">
        <v>3.6244941391413121</v>
      </c>
      <c r="F10">
        <v>8.5778441065895183</v>
      </c>
      <c r="G10">
        <v>39.486924298506949</v>
      </c>
    </row>
    <row r="11" spans="1:8" x14ac:dyDescent="0.25">
      <c r="A11">
        <v>18</v>
      </c>
      <c r="B11">
        <f t="shared" si="0"/>
        <v>28.397924560112948</v>
      </c>
      <c r="C11">
        <v>31.876605800476643</v>
      </c>
      <c r="E11">
        <v>3.5814365777583035</v>
      </c>
      <c r="F11">
        <v>8.2172795945172261</v>
      </c>
      <c r="G11">
        <v>41.299882744762179</v>
      </c>
    </row>
    <row r="12" spans="1:8" x14ac:dyDescent="0.25">
      <c r="A12">
        <v>20</v>
      </c>
      <c r="B12">
        <f t="shared" si="0"/>
        <v>29.991771007147687</v>
      </c>
      <c r="C12">
        <v>33.665694816156972</v>
      </c>
      <c r="D12">
        <v>20.421600000000002</v>
      </c>
      <c r="E12">
        <v>3.345700169036423</v>
      </c>
      <c r="F12">
        <v>7.6472604719564963</v>
      </c>
      <c r="G12">
        <v>42.527524768893407</v>
      </c>
      <c r="H12">
        <v>31.089600000000001</v>
      </c>
    </row>
    <row r="13" spans="1:8" x14ac:dyDescent="0.25">
      <c r="A13">
        <v>22</v>
      </c>
      <c r="B13">
        <f t="shared" si="0"/>
        <v>31.14076301095939</v>
      </c>
      <c r="C13">
        <v>34.955435729999998</v>
      </c>
      <c r="E13">
        <v>2.9564879576701841</v>
      </c>
      <c r="F13">
        <v>6.9099309450000002</v>
      </c>
      <c r="G13">
        <v>43.271801437912231</v>
      </c>
    </row>
    <row r="14" spans="1:8" x14ac:dyDescent="0.25">
      <c r="A14">
        <v>24</v>
      </c>
      <c r="B14">
        <f t="shared" si="0"/>
        <v>31.911736360023582</v>
      </c>
      <c r="C14">
        <v>35.820851562722908</v>
      </c>
      <c r="E14">
        <v>2.4498664614607613</v>
      </c>
      <c r="F14">
        <v>6.0438475571111816</v>
      </c>
      <c r="G14">
        <v>43.615839341589606</v>
      </c>
    </row>
    <row r="15" spans="1:8" x14ac:dyDescent="0.25">
      <c r="A15">
        <v>26</v>
      </c>
      <c r="B15">
        <f t="shared" si="0"/>
        <v>32.1412779630542</v>
      </c>
      <c r="C15">
        <v>36.078511490621082</v>
      </c>
      <c r="E15">
        <v>1.8595618939661129</v>
      </c>
      <c r="F15">
        <v>5.0848986300286292</v>
      </c>
      <c r="G15">
        <v>43.628240126287153</v>
      </c>
    </row>
    <row r="16" spans="1:8" x14ac:dyDescent="0.25">
      <c r="G16">
        <f>G15*68.04*9.82/1000</f>
        <v>29.150330799451119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CE5040-7C78-4F7D-AD95-3AFF129DBB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TestData_v3_comp</vt:lpstr>
      <vt:lpstr>TestData_v3_comp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Anders Rockenberger</dc:creator>
  <cp:lastModifiedBy>Jakob Anders Rockenberger</cp:lastModifiedBy>
  <dcterms:created xsi:type="dcterms:W3CDTF">2026-09-30T21:57:03Z</dcterms:created>
  <dcterms:modified xsi:type="dcterms:W3CDTF">2026-10-09T23:29:08Z</dcterms:modified>
</cp:coreProperties>
</file>